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ttikun/Personal/python/steel_design/database/"/>
    </mc:Choice>
  </mc:AlternateContent>
  <xr:revisionPtr revIDLastSave="0" documentId="13_ncr:1_{3DFB7C8B-DE10-AE4F-AE92-84DB61EA87AA}" xr6:coauthVersionLast="47" xr6:coauthVersionMax="47" xr10:uidLastSave="{00000000-0000-0000-0000-000000000000}"/>
  <bookViews>
    <workbookView xWindow="1520" yWindow="620" windowWidth="25820" windowHeight="15760" xr2:uid="{43CCA56D-4571-43FB-BDD5-9ED39ADF2E22}"/>
  </bookViews>
  <sheets>
    <sheet name="master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" i="4" l="1"/>
  <c r="V3" i="4" s="1"/>
  <c r="W3" i="4" s="1"/>
  <c r="Q4" i="4"/>
  <c r="T4" i="4" s="1"/>
  <c r="Q5" i="4"/>
  <c r="T5" i="4" s="1"/>
  <c r="Q3" i="4"/>
  <c r="T3" i="4" s="1"/>
  <c r="O4" i="4"/>
  <c r="P4" i="4"/>
  <c r="S4" i="4"/>
  <c r="R4" i="4"/>
  <c r="U4" i="4" s="1"/>
  <c r="O5" i="4"/>
  <c r="P5" i="4"/>
  <c r="S5" i="4"/>
  <c r="R5" i="4"/>
  <c r="V5" i="4" s="1"/>
  <c r="W5" i="4" s="1"/>
  <c r="S3" i="4"/>
  <c r="P3" i="4"/>
  <c r="O3" i="4"/>
  <c r="X3" i="4" l="1"/>
  <c r="X5" i="4"/>
  <c r="X4" i="4"/>
  <c r="U3" i="4"/>
  <c r="U5" i="4"/>
  <c r="V4" i="4"/>
  <c r="W4" i="4" s="1"/>
</calcChain>
</file>

<file path=xl/sharedStrings.xml><?xml version="1.0" encoding="utf-8"?>
<sst xmlns="http://schemas.openxmlformats.org/spreadsheetml/2006/main" count="51" uniqueCount="35">
  <si>
    <t>Section</t>
  </si>
  <si>
    <t>W-100x50x5x7 (9.3 kg/m)</t>
  </si>
  <si>
    <t>W-100x100x6x8 (17.2 kg/m)</t>
  </si>
  <si>
    <t>W-125x125x6.5x9 (23.8 kg/m)</t>
  </si>
  <si>
    <t>w</t>
  </si>
  <si>
    <t>mm</t>
  </si>
  <si>
    <t>d</t>
  </si>
  <si>
    <t>bf</t>
  </si>
  <si>
    <t>tw</t>
  </si>
  <si>
    <t>tf</t>
  </si>
  <si>
    <t>r</t>
  </si>
  <si>
    <t>cm**2</t>
  </si>
  <si>
    <t>Ix</t>
  </si>
  <si>
    <t>cm**4</t>
  </si>
  <si>
    <t>Iy</t>
  </si>
  <si>
    <t>cm</t>
  </si>
  <si>
    <t>rx</t>
  </si>
  <si>
    <t>ry</t>
  </si>
  <si>
    <t>cm**3</t>
  </si>
  <si>
    <t>Sx</t>
  </si>
  <si>
    <t>Sy</t>
  </si>
  <si>
    <t>Zx</t>
  </si>
  <si>
    <t>Zy</t>
  </si>
  <si>
    <t>dimensionless</t>
  </si>
  <si>
    <t>h</t>
  </si>
  <si>
    <t>h0</t>
  </si>
  <si>
    <t>J</t>
  </si>
  <si>
    <t>cm**6</t>
  </si>
  <si>
    <t>Cw</t>
  </si>
  <si>
    <t>rts</t>
  </si>
  <si>
    <t>Ag</t>
  </si>
  <si>
    <t>lambda_f</t>
  </si>
  <si>
    <t>lambda_w</t>
  </si>
  <si>
    <t>kgf/m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</si>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</sst>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4ABC-8AB4-4974-A82E-7C29313BF5E4}">
  <dimension ref="A1:X5"/>
  <sheetViews>
    <sheetView tabSelected="1" zoomScaleNormal="70" workbookViewId="0">
      <pane ySplit="1" topLeftCell="A2" activePane="bottomLeft" state="frozen"/>
      <selection pane="bottomLeft" activeCell="C16" sqref="C16"/>
    </sheetView>
  </sheetViews>
  <sheetFormatPr baseColWidth="10" defaultColWidth="11.5" defaultRowHeight="15" x14ac:dyDescent="0.2"/>
  <cols>
    <col min="1" max="1" width="25.5" bestFit="1" customWidth="1"/>
    <col min="19" max="20" width="14" bestFit="1" customWidth="1"/>
    <col min="22" max="22" width="13.6640625" bestFit="1" customWidth="1"/>
  </cols>
  <sheetData>
    <row r="1" spans="1:24" x14ac:dyDescent="0.2">
      <c r="A1" t="s">
        <v>0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30</v>
      </c>
      <c r="I1" t="s">
        <v>12</v>
      </c>
      <c r="J1" t="s">
        <v>14</v>
      </c>
      <c r="K1" t="s">
        <v>16</v>
      </c>
      <c r="L1" t="s">
        <v>17</v>
      </c>
      <c r="M1" t="s">
        <v>19</v>
      </c>
      <c r="N1" t="s">
        <v>20</v>
      </c>
      <c r="O1" s="2" t="s">
        <v>21</v>
      </c>
      <c r="P1" s="2" t="s">
        <v>22</v>
      </c>
      <c r="Q1" s="2" t="s">
        <v>24</v>
      </c>
      <c r="R1" s="2" t="s">
        <v>25</v>
      </c>
      <c r="S1" s="2" t="s">
        <v>31</v>
      </c>
      <c r="T1" s="2" t="s">
        <v>32</v>
      </c>
      <c r="U1" s="2" t="s">
        <v>26</v>
      </c>
      <c r="V1" s="2" t="s">
        <v>28</v>
      </c>
      <c r="W1" s="2" t="s">
        <v>29</v>
      </c>
      <c r="X1" s="2" t="s">
        <v>34</v>
      </c>
    </row>
    <row r="2" spans="1:24" x14ac:dyDescent="0.2">
      <c r="A2" t="s">
        <v>23</v>
      </c>
      <c r="B2" t="s">
        <v>33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11</v>
      </c>
      <c r="I2" t="s">
        <v>13</v>
      </c>
      <c r="J2" t="s">
        <v>13</v>
      </c>
      <c r="K2" t="s">
        <v>15</v>
      </c>
      <c r="L2" t="s">
        <v>15</v>
      </c>
      <c r="M2" t="s">
        <v>18</v>
      </c>
      <c r="N2" t="s">
        <v>18</v>
      </c>
      <c r="O2" t="s">
        <v>18</v>
      </c>
      <c r="P2" t="s">
        <v>18</v>
      </c>
      <c r="Q2" t="s">
        <v>5</v>
      </c>
      <c r="R2" t="s">
        <v>5</v>
      </c>
      <c r="S2" t="s">
        <v>23</v>
      </c>
      <c r="T2" t="s">
        <v>23</v>
      </c>
      <c r="U2" t="s">
        <v>13</v>
      </c>
      <c r="V2" t="s">
        <v>27</v>
      </c>
      <c r="W2" t="s">
        <v>15</v>
      </c>
      <c r="X2" t="s">
        <v>23</v>
      </c>
    </row>
    <row r="3" spans="1:24" x14ac:dyDescent="0.2">
      <c r="A3" s="1" t="s">
        <v>1</v>
      </c>
      <c r="B3" s="3">
        <v>9.3000000000000007</v>
      </c>
      <c r="C3" s="3">
        <v>100</v>
      </c>
      <c r="D3" s="3">
        <v>50</v>
      </c>
      <c r="E3" s="3">
        <v>5</v>
      </c>
      <c r="F3" s="3">
        <v>7</v>
      </c>
      <c r="G3" s="3">
        <v>8</v>
      </c>
      <c r="H3" s="3">
        <v>11.85</v>
      </c>
      <c r="I3" s="3">
        <v>187</v>
      </c>
      <c r="J3" s="3">
        <v>14.8</v>
      </c>
      <c r="K3" s="3">
        <v>3.98</v>
      </c>
      <c r="L3" s="3">
        <v>1.1200000000000001</v>
      </c>
      <c r="M3" s="3">
        <v>37.5</v>
      </c>
      <c r="N3" s="3">
        <v>5.91</v>
      </c>
      <c r="O3" s="3">
        <f>ROUND(2*((C3/2*E3)*(C3/4)+((D3-E3)*F3*(C3-F3)/2))/1000,2)</f>
        <v>41.8</v>
      </c>
      <c r="P3" s="3">
        <f>ROUND((2*(F3*D3/2)*(D3/4)+(C3-2*F3)*(E3/2)*(E3/4))*2/1000,2)</f>
        <v>9.2899999999999991</v>
      </c>
      <c r="Q3" s="3">
        <f t="shared" ref="Q3:Q5" si="0">C3-2*(F3+G3)</f>
        <v>70</v>
      </c>
      <c r="R3" s="3">
        <f t="shared" ref="R3:R5" si="1">C3-F3</f>
        <v>93</v>
      </c>
      <c r="S3" s="3">
        <f t="shared" ref="S3:S5" si="2">ROUND(0.5*D3/F3,2)</f>
        <v>3.57</v>
      </c>
      <c r="T3" s="3">
        <f t="shared" ref="T3:T5" si="3">ROUND(Q3/E3,2)</f>
        <v>14</v>
      </c>
      <c r="U3" s="3">
        <f t="shared" ref="U3:U5" si="4">ROUND((2*D3*F3^3+R3*E3^3)/3/10000,2)</f>
        <v>1.53</v>
      </c>
      <c r="V3" s="3">
        <f t="shared" ref="V3:V5" si="5">ROUND(((R3/10)^2)*J3/4,2)</f>
        <v>320.01</v>
      </c>
      <c r="W3" s="3">
        <f t="shared" ref="W3:W5" si="6">ROUND(SQRT(SQRT(J3*V3)/M3),2)</f>
        <v>1.35</v>
      </c>
      <c r="X3" s="3">
        <f>MIN(0.76,MAX(0.35,4/(SQRT(Q3/E3))))</f>
        <v>0.76</v>
      </c>
    </row>
    <row r="4" spans="1:24" x14ac:dyDescent="0.2">
      <c r="A4" s="1" t="s">
        <v>2</v>
      </c>
      <c r="B4" s="3">
        <v>17.2</v>
      </c>
      <c r="C4" s="3">
        <v>100</v>
      </c>
      <c r="D4" s="3">
        <v>100</v>
      </c>
      <c r="E4" s="3">
        <v>6</v>
      </c>
      <c r="F4" s="3">
        <v>8</v>
      </c>
      <c r="G4" s="3">
        <v>10</v>
      </c>
      <c r="H4" s="3">
        <v>21.9</v>
      </c>
      <c r="I4" s="3">
        <v>383</v>
      </c>
      <c r="J4" s="3">
        <v>134</v>
      </c>
      <c r="K4" s="3">
        <v>4.2</v>
      </c>
      <c r="L4" s="3">
        <v>2.4700000000000002</v>
      </c>
      <c r="M4" s="3">
        <v>77</v>
      </c>
      <c r="N4" s="3">
        <v>27</v>
      </c>
      <c r="O4" s="3">
        <f t="shared" ref="O4:O5" si="7">ROUND(2*((C4/2*E4)*(C4/4)+((D4-E4)*F4*(C4-F4)/2))/1000,2)</f>
        <v>84.18</v>
      </c>
      <c r="P4" s="3">
        <f t="shared" ref="P4:P5" si="8">ROUND((2*(F4*D4/2)*(D4/4)+(C4-2*F4)*(E4/2)*(E4/4))*2/1000,2)</f>
        <v>40.76</v>
      </c>
      <c r="Q4" s="3">
        <f t="shared" si="0"/>
        <v>64</v>
      </c>
      <c r="R4" s="3">
        <f t="shared" si="1"/>
        <v>92</v>
      </c>
      <c r="S4" s="3">
        <f t="shared" si="2"/>
        <v>6.25</v>
      </c>
      <c r="T4" s="3">
        <f t="shared" si="3"/>
        <v>10.67</v>
      </c>
      <c r="U4" s="3">
        <f t="shared" si="4"/>
        <v>4.08</v>
      </c>
      <c r="V4" s="3">
        <f t="shared" si="5"/>
        <v>2835.44</v>
      </c>
      <c r="W4" s="3">
        <f t="shared" si="6"/>
        <v>2.83</v>
      </c>
      <c r="X4" s="3">
        <f t="shared" ref="X4:X5" si="9">MIN(0.76,MAX(0.35,4/(SQRT(Q4/E4))))</f>
        <v>0.76</v>
      </c>
    </row>
    <row r="5" spans="1:24" x14ac:dyDescent="0.2">
      <c r="A5" s="1" t="s">
        <v>3</v>
      </c>
      <c r="B5" s="3">
        <v>23.8</v>
      </c>
      <c r="C5" s="3">
        <v>125</v>
      </c>
      <c r="D5" s="3">
        <v>125</v>
      </c>
      <c r="E5" s="3">
        <v>6.5</v>
      </c>
      <c r="F5" s="3">
        <v>9</v>
      </c>
      <c r="G5" s="3">
        <v>10</v>
      </c>
      <c r="H5" s="3">
        <v>30.31</v>
      </c>
      <c r="I5" s="3">
        <v>847</v>
      </c>
      <c r="J5" s="3">
        <v>293</v>
      </c>
      <c r="K5" s="3">
        <v>5.3</v>
      </c>
      <c r="L5" s="3">
        <v>3.11</v>
      </c>
      <c r="M5" s="3">
        <v>136</v>
      </c>
      <c r="N5" s="3">
        <v>47</v>
      </c>
      <c r="O5" s="3">
        <f t="shared" si="7"/>
        <v>149.1</v>
      </c>
      <c r="P5" s="3">
        <f t="shared" si="8"/>
        <v>71.44</v>
      </c>
      <c r="Q5" s="3">
        <f t="shared" si="0"/>
        <v>87</v>
      </c>
      <c r="R5" s="3">
        <f t="shared" si="1"/>
        <v>116</v>
      </c>
      <c r="S5" s="3">
        <f t="shared" si="2"/>
        <v>6.94</v>
      </c>
      <c r="T5" s="3">
        <f t="shared" si="3"/>
        <v>13.38</v>
      </c>
      <c r="U5" s="3">
        <f t="shared" si="4"/>
        <v>7.14</v>
      </c>
      <c r="V5" s="3">
        <f t="shared" si="5"/>
        <v>9856.52</v>
      </c>
      <c r="W5" s="3">
        <f t="shared" si="6"/>
        <v>3.53</v>
      </c>
      <c r="X5" s="3">
        <f t="shared" si="9"/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Kittikun Jitpairod</dc:creator>
  <cp:lastModifiedBy>KITTIKUN JITPAIROD</cp:lastModifiedBy>
  <dcterms:created xsi:type="dcterms:W3CDTF">2022-08-15T20:07:01Z</dcterms:created>
  <dcterms:modified xsi:type="dcterms:W3CDTF">2025-10-26T15:31:50Z</dcterms:modified>
</cp:coreProperties>
</file>